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J:\МСС\"/>
    </mc:Choice>
  </mc:AlternateContent>
  <bookViews>
    <workbookView xWindow="0" yWindow="0" windowWidth="17256" windowHeight="5772" activeTab="2"/>
  </bookViews>
  <sheets>
    <sheet name="2род" sheetId="2" r:id="rId1"/>
    <sheet name="3род" sheetId="7" r:id="rId2"/>
    <sheet name="4род" sheetId="6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2" i="6" l="1"/>
  <c r="B2" i="6"/>
  <c r="B2" i="7"/>
  <c r="B3" i="7" s="1"/>
  <c r="AI14" i="7" l="1"/>
  <c r="AE14" i="7"/>
  <c r="AA14" i="7"/>
  <c r="W14" i="7"/>
  <c r="S14" i="7"/>
  <c r="O14" i="7"/>
  <c r="K14" i="7"/>
  <c r="G14" i="7"/>
  <c r="AH14" i="7"/>
  <c r="V14" i="7"/>
  <c r="N14" i="7"/>
  <c r="AG14" i="7"/>
  <c r="AC14" i="7"/>
  <c r="Y14" i="7"/>
  <c r="U14" i="7"/>
  <c r="Q14" i="7"/>
  <c r="M14" i="7"/>
  <c r="I14" i="7"/>
  <c r="AF14" i="7"/>
  <c r="AB14" i="7"/>
  <c r="X14" i="7"/>
  <c r="T14" i="7"/>
  <c r="P14" i="7"/>
  <c r="L14" i="7"/>
  <c r="H14" i="7"/>
  <c r="AD14" i="7"/>
  <c r="Z14" i="7"/>
  <c r="R14" i="7"/>
  <c r="J14" i="7"/>
  <c r="G11" i="7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AG11" i="7" s="1"/>
  <c r="AH11" i="7" s="1"/>
  <c r="AI11" i="7" s="1"/>
  <c r="AJ11" i="7" s="1"/>
  <c r="F12" i="7"/>
  <c r="AG15" i="2" l="1"/>
  <c r="AC15" i="2"/>
  <c r="Y15" i="2"/>
  <c r="U15" i="2"/>
  <c r="Q15" i="2"/>
  <c r="M15" i="2"/>
  <c r="I15" i="2"/>
  <c r="AJ12" i="2"/>
  <c r="B3" i="2"/>
  <c r="AF14" i="2" s="1"/>
  <c r="B2" i="2"/>
  <c r="AI15" i="2" s="1"/>
  <c r="B3" i="6" l="1"/>
  <c r="G11" i="6"/>
  <c r="H11" i="6" s="1"/>
  <c r="I11" i="6" s="1"/>
  <c r="J11" i="6" s="1"/>
  <c r="K11" i="6" s="1"/>
  <c r="L11" i="6" s="1"/>
  <c r="M11" i="6" s="1"/>
  <c r="N11" i="6" s="1"/>
  <c r="O11" i="6" s="1"/>
  <c r="P11" i="6" s="1"/>
  <c r="Q11" i="6" s="1"/>
  <c r="R11" i="6" s="1"/>
  <c r="S11" i="6" s="1"/>
  <c r="T11" i="6" s="1"/>
  <c r="U11" i="6" s="1"/>
  <c r="V11" i="6" s="1"/>
  <c r="W11" i="6" s="1"/>
  <c r="X11" i="6" s="1"/>
  <c r="Y11" i="6" s="1"/>
  <c r="Z11" i="6" s="1"/>
  <c r="AA11" i="6" s="1"/>
  <c r="AB11" i="6" s="1"/>
  <c r="AC11" i="6" s="1"/>
  <c r="AD11" i="6" s="1"/>
  <c r="AE11" i="6" s="1"/>
  <c r="AF11" i="6" s="1"/>
  <c r="AG11" i="6" s="1"/>
  <c r="AH11" i="6" s="1"/>
  <c r="AI11" i="6" s="1"/>
  <c r="N14" i="2"/>
  <c r="V14" i="2"/>
  <c r="AD14" i="2"/>
  <c r="AH14" i="2"/>
  <c r="F12" i="2"/>
  <c r="G15" i="2" s="1"/>
  <c r="I14" i="2"/>
  <c r="M14" i="2"/>
  <c r="Q14" i="2"/>
  <c r="U14" i="2"/>
  <c r="Y14" i="2"/>
  <c r="AC14" i="2"/>
  <c r="AG14" i="2"/>
  <c r="H15" i="2"/>
  <c r="L15" i="2"/>
  <c r="P15" i="2"/>
  <c r="T15" i="2"/>
  <c r="X15" i="2"/>
  <c r="AB15" i="2"/>
  <c r="AF15" i="2"/>
  <c r="J14" i="2"/>
  <c r="R14" i="2"/>
  <c r="G11" i="2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J11" i="2" s="1"/>
  <c r="G14" i="2"/>
  <c r="K14" i="2"/>
  <c r="O14" i="2"/>
  <c r="S14" i="2"/>
  <c r="W14" i="2"/>
  <c r="AA14" i="2"/>
  <c r="AE14" i="2"/>
  <c r="AI14" i="2"/>
  <c r="J15" i="2"/>
  <c r="N15" i="2"/>
  <c r="R15" i="2"/>
  <c r="V15" i="2"/>
  <c r="Z15" i="2"/>
  <c r="AD15" i="2"/>
  <c r="AH15" i="2"/>
  <c r="Z14" i="2"/>
  <c r="H14" i="2"/>
  <c r="L14" i="2"/>
  <c r="P14" i="2"/>
  <c r="T14" i="2"/>
  <c r="X14" i="2"/>
  <c r="AB14" i="2"/>
  <c r="K15" i="2"/>
  <c r="O15" i="2"/>
  <c r="S15" i="2"/>
  <c r="W15" i="2"/>
  <c r="AA15" i="2"/>
  <c r="AE15" i="2"/>
  <c r="H14" i="6" l="1"/>
  <c r="L14" i="6"/>
  <c r="P14" i="6"/>
  <c r="T14" i="6"/>
  <c r="X14" i="6"/>
  <c r="AB14" i="6"/>
  <c r="AF14" i="6"/>
  <c r="J14" i="6"/>
  <c r="R14" i="6"/>
  <c r="Z14" i="6"/>
  <c r="AH14" i="6"/>
  <c r="S14" i="6"/>
  <c r="AA14" i="6"/>
  <c r="AE14" i="6"/>
  <c r="I14" i="6"/>
  <c r="M14" i="6"/>
  <c r="Q14" i="6"/>
  <c r="U14" i="6"/>
  <c r="Y14" i="6"/>
  <c r="AC14" i="6"/>
  <c r="AG14" i="6"/>
  <c r="N14" i="6"/>
  <c r="V14" i="6"/>
  <c r="AD14" i="6"/>
  <c r="K14" i="6"/>
  <c r="O14" i="6"/>
  <c r="W14" i="6"/>
  <c r="AI14" i="6"/>
  <c r="G14" i="6"/>
</calcChain>
</file>

<file path=xl/sharedStrings.xml><?xml version="1.0" encoding="utf-8"?>
<sst xmlns="http://schemas.openxmlformats.org/spreadsheetml/2006/main" count="41" uniqueCount="17">
  <si>
    <t>L</t>
  </si>
  <si>
    <t>dx</t>
  </si>
  <si>
    <t>dt</t>
  </si>
  <si>
    <t>t</t>
  </si>
  <si>
    <t>Cp</t>
  </si>
  <si>
    <t>r0</t>
  </si>
  <si>
    <t>lambda</t>
  </si>
  <si>
    <t>T</t>
  </si>
  <si>
    <t>T_end</t>
  </si>
  <si>
    <t>T_iter</t>
  </si>
  <si>
    <t>q_start</t>
  </si>
  <si>
    <t>q</t>
  </si>
  <si>
    <t>α</t>
  </si>
  <si>
    <t>T_gas</t>
  </si>
  <si>
    <t>Стержень 1</t>
  </si>
  <si>
    <t>Стержень 2</t>
  </si>
  <si>
    <t>lambda_2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</si>
</sst>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2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0" xfId="0" applyBorder="1"/>
    <xf numFmtId="0" fontId="1" fillId="0" borderId="0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Граничные условия 2 рода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8944411251350922E-2"/>
          <c:y val="0.12434594892259038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'2род'!$E$12</c:f>
              <c:strCache>
                <c:ptCount val="1"/>
                <c:pt idx="0">
                  <c:v>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'2род'!$F$11:$AJ$11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'2род'!$F$12:$AJ$12</c:f>
              <c:numCache>
                <c:formatCode>General</c:formatCode>
                <c:ptCount val="31"/>
                <c:pt idx="0">
                  <c:v>119.99999194634933</c:v>
                </c:pt>
                <c:pt idx="1">
                  <c:v>119.33332527968265</c:v>
                </c:pt>
                <c:pt idx="2">
                  <c:v>118.66665863584493</c:v>
                </c:pt>
                <c:pt idx="3">
                  <c:v>117.99999201477145</c:v>
                </c:pt>
                <c:pt idx="4">
                  <c:v>117.33332541633295</c:v>
                </c:pt>
                <c:pt idx="5">
                  <c:v>116.66665884033608</c:v>
                </c:pt>
                <c:pt idx="6">
                  <c:v>115.99999228652376</c:v>
                </c:pt>
                <c:pt idx="7">
                  <c:v>115.33332575457617</c:v>
                </c:pt>
                <c:pt idx="8">
                  <c:v>114.66665924411134</c:v>
                </c:pt>
                <c:pt idx="9">
                  <c:v>113.99999275468659</c:v>
                </c:pt>
                <c:pt idx="10">
                  <c:v>113.33332628579944</c:v>
                </c:pt>
                <c:pt idx="11">
                  <c:v>112.66665983688932</c:v>
                </c:pt>
                <c:pt idx="12">
                  <c:v>111.99999340733892</c:v>
                </c:pt>
                <c:pt idx="13">
                  <c:v>111.33332699647615</c:v>
                </c:pt>
                <c:pt idx="14">
                  <c:v>110.66666060357588</c:v>
                </c:pt>
                <c:pt idx="15">
                  <c:v>109.99999422786209</c:v>
                </c:pt>
                <c:pt idx="16">
                  <c:v>109.33332786851008</c:v>
                </c:pt>
                <c:pt idx="17">
                  <c:v>108.66666152464867</c:v>
                </c:pt>
                <c:pt idx="18">
                  <c:v>107.9999951953629</c:v>
                </c:pt>
                <c:pt idx="19">
                  <c:v>107.33332887969638</c:v>
                </c:pt>
                <c:pt idx="20">
                  <c:v>106.66666257665418</c:v>
                </c:pt>
                <c:pt idx="21">
                  <c:v>105.99999628520558</c:v>
                </c:pt>
                <c:pt idx="22">
                  <c:v>105.33333000428695</c:v>
                </c:pt>
                <c:pt idx="23">
                  <c:v>104.66666373280489</c:v>
                </c:pt>
                <c:pt idx="24">
                  <c:v>103.99999746963914</c:v>
                </c:pt>
                <c:pt idx="25">
                  <c:v>103.33333121364601</c:v>
                </c:pt>
                <c:pt idx="26">
                  <c:v>102.66666496366133</c:v>
                </c:pt>
                <c:pt idx="27">
                  <c:v>101.99999871850403</c:v>
                </c:pt>
                <c:pt idx="28">
                  <c:v>101.33333247697925</c:v>
                </c:pt>
                <c:pt idx="29">
                  <c:v>100.66666623788191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C7-47CC-A507-EBC3EBF88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Длина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Температура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Граничные условия 3 рода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82896166622145"/>
          <c:y val="0.12785924789023845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'3род'!$E$12</c:f>
              <c:strCache>
                <c:ptCount val="1"/>
                <c:pt idx="0">
                  <c:v>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'3род'!$F$11:$AJ$11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'3род'!$F$12:$AJ$12</c:f>
              <c:numCache>
                <c:formatCode>General</c:formatCode>
                <c:ptCount val="31"/>
                <c:pt idx="0">
                  <c:v>11.925281558091116</c:v>
                </c:pt>
                <c:pt idx="1">
                  <c:v>11.52320132172588</c:v>
                </c:pt>
                <c:pt idx="2">
                  <c:v>11.121500908501179</c:v>
                </c:pt>
                <c:pt idx="3">
                  <c:v>10.720180853739457</c:v>
                </c:pt>
                <c:pt idx="4">
                  <c:v>10.31924050051618</c:v>
                </c:pt>
                <c:pt idx="5">
                  <c:v>9.9186780013138289</c:v>
                </c:pt>
                <c:pt idx="6">
                  <c:v>9.5184903244160139</c:v>
                </c:pt>
                <c:pt idx="7">
                  <c:v>9.1186732626194349</c:v>
                </c:pt>
                <c:pt idx="8">
                  <c:v>8.7192214473965137</c:v>
                </c:pt>
                <c:pt idx="9">
                  <c:v>8.3201283645820698</c:v>
                </c:pt>
                <c:pt idx="10">
                  <c:v>7.9213863760951808</c:v>
                </c:pt>
                <c:pt idx="11">
                  <c:v>7.5229867424414074</c:v>
                </c:pt>
                <c:pt idx="12">
                  <c:v>7.1249196516792077</c:v>
                </c:pt>
                <c:pt idx="13">
                  <c:v>6.7271742485028962</c:v>
                </c:pt>
                <c:pt idx="14">
                  <c:v>6.3297386700394096</c:v>
                </c:pt>
                <c:pt idx="15">
                  <c:v>5.9326000812023967</c:v>
                </c:pt>
                <c:pt idx="16">
                  <c:v>5.535744716813074</c:v>
                </c:pt>
                <c:pt idx="17">
                  <c:v>5.1391579228424655</c:v>
                </c:pt>
                <c:pt idx="18">
                  <c:v>4.7428242042669959</c:v>
                </c:pt>
                <c:pt idx="19">
                  <c:v>4.346727271744566</c:v>
                </c:pt>
                <c:pt idx="20">
                  <c:v>3.9508500945426417</c:v>
                </c:pt>
                <c:pt idx="21">
                  <c:v>3.5551749521254052</c:v>
                </c:pt>
                <c:pt idx="22">
                  <c:v>3.159683491430298</c:v>
                </c:pt>
                <c:pt idx="23">
                  <c:v>2.7643567827787985</c:v>
                </c:pt>
                <c:pt idx="24">
                  <c:v>2.3691753807274054</c:v>
                </c:pt>
                <c:pt idx="25">
                  <c:v>1.9741193836545983</c:v>
                </c:pt>
                <c:pt idx="26">
                  <c:v>1.579168497374525</c:v>
                </c:pt>
                <c:pt idx="27">
                  <c:v>1.1843020976984073</c:v>
                </c:pt>
                <c:pt idx="28">
                  <c:v>0.78949929597387536</c:v>
                </c:pt>
                <c:pt idx="29">
                  <c:v>0.39473900387156408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F-4898-86FC-781BDFF25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Длина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Температура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Граничные условия 4 рода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82896166622145"/>
          <c:y val="0.12785924789023845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'4род'!$E$12</c:f>
              <c:strCache>
                <c:ptCount val="1"/>
                <c:pt idx="0">
                  <c:v>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'4род'!$F$11:$AJ$11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cat>
          <c:val>
            <c:numRef>
              <c:f>'4род'!$F$12:$AJ$12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A-48AF-9531-918570761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Длина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Температура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533399</xdr:colOff>
      <xdr:row>15</xdr:row>
      <xdr:rowOff>148590</xdr:rowOff>
    </xdr:from>
    <xdr:to>
      <xdr:col>17</xdr:col>
      <xdr:colOff>108856</xdr:colOff>
      <xdr:row>38</xdr:row>
      <xdr:rowOff>76200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533399</xdr:colOff>
      <xdr:row>15</xdr:row>
      <xdr:rowOff>148589</xdr:rowOff>
    </xdr:from>
    <xdr:to>
      <xdr:col>18</xdr:col>
      <xdr:colOff>174172</xdr:colOff>
      <xdr:row>43</xdr:row>
      <xdr:rowOff>65314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533399</xdr:colOff>
      <xdr:row>21</xdr:row>
      <xdr:rowOff>148589</xdr:rowOff>
    </xdr:from>
    <xdr:to>
      <xdr:col>18</xdr:col>
      <xdr:colOff>174172</xdr:colOff>
      <xdr:row>49</xdr:row>
      <xdr:rowOff>65315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J15"/>
  <sheetViews>
    <sheetView zoomScale="70" zoomScaleNormal="70" workbookViewId="0">
      <selection activeCell="U24" sqref="U24"/>
    </sheetView>
  </sheetViews>
  <sheetFormatPr defaultRowHeight="14.4" x14ac:dyDescent="0.3"/>
  <cols>
    <col min="2" max="2" width="10.44140625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2">
        <f>0.1/30</f>
        <v>3.3333333333333335E-3</v>
      </c>
    </row>
    <row r="3" spans="1:36" x14ac:dyDescent="0.3">
      <c r="A3" s="1" t="s">
        <v>2</v>
      </c>
      <c r="B3" s="3">
        <f>B6*B7*B2^2/(2*B8)</f>
        <v>0.4333333333333334</v>
      </c>
    </row>
    <row r="4" spans="1:36" x14ac:dyDescent="0.3">
      <c r="A4" s="1" t="s">
        <v>3</v>
      </c>
      <c r="B4" s="1">
        <v>5000</v>
      </c>
      <c r="C4">
        <v>5000.2333333333345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B11/B8*B2+G12</f>
        <v>119.99999194634933</v>
      </c>
      <c r="G12" s="1">
        <v>119.33332527968265</v>
      </c>
      <c r="H12" s="1">
        <v>118.66665863584493</v>
      </c>
      <c r="I12" s="1">
        <v>117.99999201477145</v>
      </c>
      <c r="J12" s="1">
        <v>117.33332541633295</v>
      </c>
      <c r="K12" s="1">
        <v>116.66665884033608</v>
      </c>
      <c r="L12" s="1">
        <v>115.99999228652376</v>
      </c>
      <c r="M12" s="1">
        <v>115.33332575457617</v>
      </c>
      <c r="N12" s="1">
        <v>114.66665924411134</v>
      </c>
      <c r="O12" s="1">
        <v>113.99999275468659</v>
      </c>
      <c r="P12" s="1">
        <v>113.33332628579944</v>
      </c>
      <c r="Q12" s="1">
        <v>112.66665983688932</v>
      </c>
      <c r="R12" s="1">
        <v>111.99999340733892</v>
      </c>
      <c r="S12" s="1">
        <v>111.33332699647615</v>
      </c>
      <c r="T12" s="1">
        <v>110.66666060357588</v>
      </c>
      <c r="U12" s="1">
        <v>109.99999422786209</v>
      </c>
      <c r="V12" s="1">
        <v>109.33332786851008</v>
      </c>
      <c r="W12" s="1">
        <v>108.66666152464867</v>
      </c>
      <c r="X12" s="1">
        <v>107.9999951953629</v>
      </c>
      <c r="Y12" s="1">
        <v>107.33332887969638</v>
      </c>
      <c r="Z12" s="1">
        <v>106.66666257665418</v>
      </c>
      <c r="AA12" s="1">
        <v>105.99999628520558</v>
      </c>
      <c r="AB12" s="1">
        <v>105.33333000428695</v>
      </c>
      <c r="AC12" s="1">
        <v>104.66666373280489</v>
      </c>
      <c r="AD12" s="1">
        <v>103.99999746963914</v>
      </c>
      <c r="AE12" s="1">
        <v>103.33333121364601</v>
      </c>
      <c r="AF12" s="1">
        <v>102.66666496366133</v>
      </c>
      <c r="AG12" s="1">
        <v>101.99999871850403</v>
      </c>
      <c r="AH12" s="1">
        <v>101.33333247697925</v>
      </c>
      <c r="AI12" s="1">
        <v>100.66666623788191</v>
      </c>
      <c r="AJ12" s="1">
        <f>B12</f>
        <v>100</v>
      </c>
    </row>
    <row r="14" spans="1:36" x14ac:dyDescent="0.3">
      <c r="E14" t="s">
        <v>9</v>
      </c>
      <c r="G14">
        <f>G12+$B$8*$B$3/($B$7*$B$6)*(H12-2*G12+F12)/$B$2^2</f>
        <v>119.33332529109713</v>
      </c>
      <c r="H14">
        <f t="shared" ref="H14:AI14" si="1">H12+$B$8*$B$3/($B$7*$B$6)*(I12-2*H12+G12)/$B$2^2</f>
        <v>118.66665864722705</v>
      </c>
      <c r="I14">
        <f t="shared" si="1"/>
        <v>117.99999202608893</v>
      </c>
      <c r="J14">
        <f t="shared" si="1"/>
        <v>117.33332542755377</v>
      </c>
      <c r="K14">
        <f t="shared" si="1"/>
        <v>116.66665885142837</v>
      </c>
      <c r="L14">
        <f t="shared" si="1"/>
        <v>115.99999229745612</v>
      </c>
      <c r="M14">
        <f t="shared" si="1"/>
        <v>115.33332576531755</v>
      </c>
      <c r="N14">
        <f t="shared" si="1"/>
        <v>114.66665925463138</v>
      </c>
      <c r="O14">
        <f t="shared" si="1"/>
        <v>113.99999276495539</v>
      </c>
      <c r="P14">
        <f t="shared" si="1"/>
        <v>113.33332629578796</v>
      </c>
      <c r="Q14">
        <f t="shared" si="1"/>
        <v>112.66665984656919</v>
      </c>
      <c r="R14">
        <f t="shared" si="1"/>
        <v>111.99999341668274</v>
      </c>
      <c r="S14">
        <f t="shared" si="1"/>
        <v>111.33332700545739</v>
      </c>
      <c r="T14">
        <f t="shared" si="1"/>
        <v>110.66666061216912</v>
      </c>
      <c r="U14">
        <f t="shared" si="1"/>
        <v>109.99999423604298</v>
      </c>
      <c r="V14">
        <f t="shared" si="1"/>
        <v>109.33332787625538</v>
      </c>
      <c r="W14">
        <f t="shared" si="1"/>
        <v>108.66666153193648</v>
      </c>
      <c r="X14">
        <f t="shared" si="1"/>
        <v>107.99999520217253</v>
      </c>
      <c r="Y14">
        <f t="shared" si="1"/>
        <v>107.33332888600853</v>
      </c>
      <c r="Z14">
        <f t="shared" si="1"/>
        <v>106.66666258245098</v>
      </c>
      <c r="AA14">
        <f t="shared" si="1"/>
        <v>105.99999629047056</v>
      </c>
      <c r="AB14">
        <f t="shared" si="1"/>
        <v>105.33333000900524</v>
      </c>
      <c r="AC14">
        <f t="shared" si="1"/>
        <v>104.66666373696305</v>
      </c>
      <c r="AD14">
        <f t="shared" si="1"/>
        <v>103.99999747322545</v>
      </c>
      <c r="AE14">
        <f t="shared" si="1"/>
        <v>103.33333121665024</v>
      </c>
      <c r="AF14">
        <f t="shared" si="1"/>
        <v>102.66666496607502</v>
      </c>
      <c r="AG14">
        <f t="shared" si="1"/>
        <v>101.99999872032029</v>
      </c>
      <c r="AH14">
        <f t="shared" si="1"/>
        <v>101.33333247819297</v>
      </c>
      <c r="AI14">
        <f t="shared" si="1"/>
        <v>100.66666623848963</v>
      </c>
    </row>
    <row r="15" spans="1:36" x14ac:dyDescent="0.3">
      <c r="E15" s="5" t="s">
        <v>11</v>
      </c>
      <c r="F15">
        <v>9200</v>
      </c>
      <c r="G15">
        <f>-$B$8*(G12-F12)/$B$2</f>
        <v>9200.0000000000655</v>
      </c>
      <c r="H15">
        <f t="shared" ref="H15:AI15" si="2">-$B$8*(H12-G12)/$B$2</f>
        <v>9199.9996849606614</v>
      </c>
      <c r="I15">
        <f t="shared" si="2"/>
        <v>9199.99937081395</v>
      </c>
      <c r="J15">
        <f t="shared" si="2"/>
        <v>9199.9990584512489</v>
      </c>
      <c r="K15">
        <f t="shared" si="2"/>
        <v>9199.9987487568178</v>
      </c>
      <c r="L15">
        <f t="shared" si="2"/>
        <v>9199.9984426100127</v>
      </c>
      <c r="M15">
        <f t="shared" si="2"/>
        <v>9199.9981408768544</v>
      </c>
      <c r="N15">
        <f t="shared" si="2"/>
        <v>9199.9978444145399</v>
      </c>
      <c r="O15">
        <f t="shared" si="2"/>
        <v>9199.9975540616324</v>
      </c>
      <c r="P15">
        <f t="shared" si="2"/>
        <v>9199.9972706425797</v>
      </c>
      <c r="Q15">
        <f t="shared" si="2"/>
        <v>9199.9969949596671</v>
      </c>
      <c r="R15">
        <f t="shared" si="2"/>
        <v>9199.9967277955675</v>
      </c>
      <c r="S15">
        <f t="shared" si="2"/>
        <v>9199.9964699062839</v>
      </c>
      <c r="T15">
        <f t="shared" si="2"/>
        <v>9199.9962220236994</v>
      </c>
      <c r="U15">
        <f t="shared" si="2"/>
        <v>9199.9959848502785</v>
      </c>
      <c r="V15">
        <f t="shared" si="2"/>
        <v>9199.995759057696</v>
      </c>
      <c r="W15">
        <f t="shared" si="2"/>
        <v>9199.9955452874292</v>
      </c>
      <c r="X15">
        <f t="shared" si="2"/>
        <v>9199.9953441436919</v>
      </c>
      <c r="Y15">
        <f t="shared" si="2"/>
        <v>9199.9951561979487</v>
      </c>
      <c r="Z15">
        <f t="shared" si="2"/>
        <v>9199.9949819824396</v>
      </c>
      <c r="AA15">
        <f t="shared" si="2"/>
        <v>9199.9948219905764</v>
      </c>
      <c r="AB15">
        <f t="shared" si="2"/>
        <v>9199.9946766771409</v>
      </c>
      <c r="AC15">
        <f t="shared" si="2"/>
        <v>9199.9945464523935</v>
      </c>
      <c r="AD15">
        <f t="shared" si="2"/>
        <v>9199.9944316873716</v>
      </c>
      <c r="AE15">
        <f t="shared" si="2"/>
        <v>9199.9943327052679</v>
      </c>
      <c r="AF15">
        <f t="shared" si="2"/>
        <v>9199.9942497884767</v>
      </c>
      <c r="AG15">
        <f t="shared" si="2"/>
        <v>9199.9941831707638</v>
      </c>
      <c r="AH15">
        <f t="shared" si="2"/>
        <v>9199.9941330419624</v>
      </c>
      <c r="AI15">
        <f t="shared" si="2"/>
        <v>9199.9940995432717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J15"/>
  <sheetViews>
    <sheetView zoomScale="70" zoomScaleNormal="70" workbookViewId="0">
      <selection activeCell="W24" sqref="W24"/>
    </sheetView>
  </sheetViews>
  <sheetFormatPr defaultRowHeight="14.4" x14ac:dyDescent="0.3"/>
  <cols>
    <col min="2" max="2" width="10.44140625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2">
        <f>0.1/30</f>
        <v>3.3333333333333335E-3</v>
      </c>
    </row>
    <row r="3" spans="1:36" x14ac:dyDescent="0.3">
      <c r="A3" s="1" t="s">
        <v>2</v>
      </c>
      <c r="B3" s="3">
        <f>B6*B7*B2^2/(2*B8)</f>
        <v>0.4333333333333334</v>
      </c>
    </row>
    <row r="4" spans="1:36" x14ac:dyDescent="0.3">
      <c r="A4" s="1" t="s">
        <v>3</v>
      </c>
      <c r="B4" s="1">
        <v>1000</v>
      </c>
      <c r="C4">
        <v>1000.1333333333334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(B14*B15*B2+B8*G12)/(B14*B2+B8)</f>
        <v>11.925281558091116</v>
      </c>
      <c r="G12" s="1">
        <v>11.52320132172588</v>
      </c>
      <c r="H12" s="1">
        <v>11.121500908501179</v>
      </c>
      <c r="I12" s="1">
        <v>10.720180853739457</v>
      </c>
      <c r="J12" s="1">
        <v>10.31924050051618</v>
      </c>
      <c r="K12" s="1">
        <v>9.9186780013138289</v>
      </c>
      <c r="L12" s="1">
        <v>9.5184903244160139</v>
      </c>
      <c r="M12" s="1">
        <v>9.1186732626194349</v>
      </c>
      <c r="N12" s="1">
        <v>8.7192214473965137</v>
      </c>
      <c r="O12" s="1">
        <v>8.3201283645820698</v>
      </c>
      <c r="P12" s="1">
        <v>7.9213863760951808</v>
      </c>
      <c r="Q12" s="1">
        <v>7.5229867424414074</v>
      </c>
      <c r="R12" s="1">
        <v>7.1249196516792077</v>
      </c>
      <c r="S12" s="1">
        <v>6.7271742485028962</v>
      </c>
      <c r="T12" s="1">
        <v>6.3297386700394096</v>
      </c>
      <c r="U12" s="1">
        <v>5.9326000812023967</v>
      </c>
      <c r="V12" s="1">
        <v>5.535744716813074</v>
      </c>
      <c r="W12" s="1">
        <v>5.1391579228424655</v>
      </c>
      <c r="X12" s="1">
        <v>4.7428242042669959</v>
      </c>
      <c r="Y12" s="1">
        <v>4.346727271744566</v>
      </c>
      <c r="Z12" s="1">
        <v>3.9508500945426417</v>
      </c>
      <c r="AA12" s="1">
        <v>3.5551749521254052</v>
      </c>
      <c r="AB12" s="1">
        <v>3.159683491430298</v>
      </c>
      <c r="AC12" s="1">
        <v>2.7643567827787985</v>
      </c>
      <c r="AD12" s="1">
        <v>2.3691753807274054</v>
      </c>
      <c r="AE12" s="1">
        <v>1.9741193836545983</v>
      </c>
      <c r="AF12" s="1">
        <v>1.579168497374525</v>
      </c>
      <c r="AG12" s="1">
        <v>1.1843020976984073</v>
      </c>
      <c r="AH12" s="1">
        <v>0.78949929597387536</v>
      </c>
      <c r="AI12" s="1">
        <v>0.39473900387156408</v>
      </c>
      <c r="AJ12" s="1">
        <v>0</v>
      </c>
    </row>
    <row r="14" spans="1:36" x14ac:dyDescent="0.3">
      <c r="A14" s="6" t="s">
        <v>12</v>
      </c>
      <c r="B14" s="7">
        <v>63</v>
      </c>
      <c r="E14" t="s">
        <v>9</v>
      </c>
      <c r="G14">
        <f>G12+(($B$8*$B$3)/($B$7*$B$6))*(H12-2*G12+F12)/$B$2^2</f>
        <v>11.523391233296149</v>
      </c>
      <c r="H14">
        <f t="shared" ref="H14:AI14" si="1">H12+(($B$8*$B$3)/($B$7*$B$6))*(I12-2*H12+G12)/$B$2^2</f>
        <v>11.121691087732668</v>
      </c>
      <c r="I14">
        <f t="shared" si="1"/>
        <v>10.72037070450868</v>
      </c>
      <c r="J14">
        <f t="shared" si="1"/>
        <v>10.319429427526643</v>
      </c>
      <c r="K14">
        <f t="shared" si="1"/>
        <v>9.9188654124660971</v>
      </c>
      <c r="L14">
        <f t="shared" si="1"/>
        <v>9.5186756319666319</v>
      </c>
      <c r="M14">
        <f t="shared" si="1"/>
        <v>9.1188558859062638</v>
      </c>
      <c r="N14">
        <f t="shared" si="1"/>
        <v>8.7194008136007533</v>
      </c>
      <c r="O14">
        <f t="shared" si="1"/>
        <v>8.3203039117458477</v>
      </c>
      <c r="P14">
        <f t="shared" si="1"/>
        <v>7.9215575535117386</v>
      </c>
      <c r="Q14">
        <f t="shared" si="1"/>
        <v>7.5231530138871943</v>
      </c>
      <c r="R14">
        <f t="shared" si="1"/>
        <v>7.1250804954721518</v>
      </c>
      <c r="S14">
        <f t="shared" si="1"/>
        <v>6.7273291608593091</v>
      </c>
      <c r="T14">
        <f t="shared" si="1"/>
        <v>6.3298871648526465</v>
      </c>
      <c r="U14">
        <f t="shared" si="1"/>
        <v>5.9327416934262418</v>
      </c>
      <c r="V14">
        <f t="shared" si="1"/>
        <v>5.5358790020224315</v>
      </c>
      <c r="W14">
        <f t="shared" si="1"/>
        <v>5.1392844605400345</v>
      </c>
      <c r="X14">
        <f t="shared" si="1"/>
        <v>4.7429425972935153</v>
      </c>
      <c r="Y14">
        <f t="shared" si="1"/>
        <v>4.3468371494048181</v>
      </c>
      <c r="Z14">
        <f t="shared" si="1"/>
        <v>3.9509511119349856</v>
      </c>
      <c r="AA14">
        <f t="shared" si="1"/>
        <v>3.5552667929864699</v>
      </c>
      <c r="AB14">
        <f t="shared" si="1"/>
        <v>3.1597658674521019</v>
      </c>
      <c r="AC14">
        <f t="shared" si="1"/>
        <v>2.7644294360788519</v>
      </c>
      <c r="AD14">
        <f t="shared" si="1"/>
        <v>2.3692380832166986</v>
      </c>
      <c r="AE14">
        <f t="shared" si="1"/>
        <v>1.9741719390509651</v>
      </c>
      <c r="AF14">
        <f t="shared" si="1"/>
        <v>1.5792107406765028</v>
      </c>
      <c r="AG14">
        <f t="shared" si="1"/>
        <v>1.1843338966742003</v>
      </c>
      <c r="AH14">
        <f t="shared" si="1"/>
        <v>0.78952055078498573</v>
      </c>
      <c r="AI14">
        <f t="shared" si="1"/>
        <v>0.39474964798693768</v>
      </c>
    </row>
    <row r="15" spans="1:36" x14ac:dyDescent="0.3">
      <c r="A15" s="8" t="s">
        <v>13</v>
      </c>
      <c r="B15" s="7">
        <v>100</v>
      </c>
      <c r="E15" s="9"/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M16"/>
  <sheetViews>
    <sheetView tabSelected="1" zoomScale="55" zoomScaleNormal="55" workbookViewId="0">
      <selection activeCell="AI25" sqref="AI25"/>
    </sheetView>
  </sheetViews>
  <sheetFormatPr defaultRowHeight="14.4" x14ac:dyDescent="0.3"/>
  <cols>
    <col min="2" max="2" width="10.44140625" bestFit="1" customWidth="1"/>
  </cols>
  <sheetData>
    <row r="1" spans="1:39" x14ac:dyDescent="0.3">
      <c r="A1" s="1" t="s">
        <v>0</v>
      </c>
      <c r="B1" s="1">
        <v>0.1</v>
      </c>
    </row>
    <row r="2" spans="1:39" x14ac:dyDescent="0.3">
      <c r="A2" s="1" t="s">
        <v>1</v>
      </c>
      <c r="B2" s="2">
        <f>0.1/29</f>
        <v>3.4482758620689659E-3</v>
      </c>
    </row>
    <row r="3" spans="1:39" x14ac:dyDescent="0.3">
      <c r="A3" s="1" t="s">
        <v>2</v>
      </c>
      <c r="B3" s="3">
        <f>B6*B7*B2^2/(2*B8)</f>
        <v>0.46373365041617137</v>
      </c>
    </row>
    <row r="4" spans="1:39" x14ac:dyDescent="0.3">
      <c r="A4" s="1" t="s">
        <v>3</v>
      </c>
      <c r="B4" s="1">
        <v>1000</v>
      </c>
      <c r="C4">
        <v>1000.1333333333334</v>
      </c>
    </row>
    <row r="5" spans="1:39" x14ac:dyDescent="0.3">
      <c r="A5" s="4"/>
      <c r="B5" s="4"/>
    </row>
    <row r="6" spans="1:39" x14ac:dyDescent="0.3">
      <c r="A6" s="1" t="s">
        <v>4</v>
      </c>
      <c r="B6" s="1">
        <v>460</v>
      </c>
    </row>
    <row r="7" spans="1:39" x14ac:dyDescent="0.3">
      <c r="A7" s="1" t="s">
        <v>5</v>
      </c>
      <c r="B7" s="1">
        <v>7800</v>
      </c>
    </row>
    <row r="8" spans="1:39" x14ac:dyDescent="0.3">
      <c r="A8" s="1" t="s">
        <v>6</v>
      </c>
      <c r="B8" s="1">
        <v>46</v>
      </c>
      <c r="E8" s="12" t="s">
        <v>14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K8" s="12" t="s">
        <v>15</v>
      </c>
      <c r="AL8" s="12"/>
      <c r="AM8" s="12"/>
    </row>
    <row r="9" spans="1:39" x14ac:dyDescent="0.3">
      <c r="A9" s="4"/>
      <c r="B9" s="4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K9" s="12"/>
      <c r="AL9" s="12"/>
      <c r="AM9" s="12"/>
    </row>
    <row r="10" spans="1:39" x14ac:dyDescent="0.3">
      <c r="A10" s="1" t="s">
        <v>16</v>
      </c>
      <c r="B10" s="1">
        <v>60</v>
      </c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4"/>
      <c r="AK10" s="13">
        <v>1</v>
      </c>
      <c r="AL10" s="13"/>
      <c r="AM10" s="13"/>
    </row>
    <row r="11" spans="1:39" x14ac:dyDescent="0.3">
      <c r="A11" s="4"/>
      <c r="B11" s="4"/>
      <c r="E11" s="1" t="s">
        <v>0</v>
      </c>
      <c r="F11" s="1">
        <v>0</v>
      </c>
      <c r="G11" s="2">
        <f>F11+$B$2</f>
        <v>3.4482758620689659E-3</v>
      </c>
      <c r="H11" s="2">
        <f t="shared" ref="H11:AJ11" si="0">G11+$B$2</f>
        <v>6.8965517241379318E-3</v>
      </c>
      <c r="I11" s="2">
        <f t="shared" si="0"/>
        <v>1.0344827586206898E-2</v>
      </c>
      <c r="J11" s="2">
        <f t="shared" si="0"/>
        <v>1.3793103448275864E-2</v>
      </c>
      <c r="K11" s="2">
        <f t="shared" si="0"/>
        <v>1.7241379310344831E-2</v>
      </c>
      <c r="L11" s="2">
        <f t="shared" si="0"/>
        <v>2.0689655172413796E-2</v>
      </c>
      <c r="M11" s="2">
        <f t="shared" si="0"/>
        <v>2.4137931034482762E-2</v>
      </c>
      <c r="N11" s="2">
        <f t="shared" si="0"/>
        <v>2.7586206896551727E-2</v>
      </c>
      <c r="O11" s="2">
        <f t="shared" si="0"/>
        <v>3.1034482758620693E-2</v>
      </c>
      <c r="P11" s="2">
        <f t="shared" si="0"/>
        <v>3.4482758620689662E-2</v>
      </c>
      <c r="Q11" s="2">
        <f t="shared" si="0"/>
        <v>3.7931034482758627E-2</v>
      </c>
      <c r="R11" s="2">
        <f t="shared" si="0"/>
        <v>4.1379310344827593E-2</v>
      </c>
      <c r="S11" s="2">
        <f t="shared" si="0"/>
        <v>4.4827586206896558E-2</v>
      </c>
      <c r="T11" s="2">
        <f t="shared" si="0"/>
        <v>4.8275862068965524E-2</v>
      </c>
      <c r="U11" s="2">
        <f t="shared" si="0"/>
        <v>5.1724137931034489E-2</v>
      </c>
      <c r="V11" s="2">
        <f t="shared" si="0"/>
        <v>5.5172413793103454E-2</v>
      </c>
      <c r="W11" s="2">
        <f t="shared" si="0"/>
        <v>5.862068965517242E-2</v>
      </c>
      <c r="X11" s="2">
        <f t="shared" si="0"/>
        <v>6.2068965517241385E-2</v>
      </c>
      <c r="Y11" s="2">
        <f t="shared" si="0"/>
        <v>6.5517241379310351E-2</v>
      </c>
      <c r="Z11" s="2">
        <f t="shared" si="0"/>
        <v>6.8965517241379323E-2</v>
      </c>
      <c r="AA11" s="2">
        <f t="shared" si="0"/>
        <v>7.2413793103448296E-2</v>
      </c>
      <c r="AB11" s="2">
        <f t="shared" si="0"/>
        <v>7.5862068965517268E-2</v>
      </c>
      <c r="AC11" s="2">
        <f t="shared" si="0"/>
        <v>7.931034482758624E-2</v>
      </c>
      <c r="AD11" s="2">
        <f t="shared" si="0"/>
        <v>8.2758620689655213E-2</v>
      </c>
      <c r="AE11" s="2">
        <f t="shared" si="0"/>
        <v>8.6206896551724185E-2</v>
      </c>
      <c r="AF11" s="2">
        <f t="shared" si="0"/>
        <v>8.9655172413793158E-2</v>
      </c>
      <c r="AG11" s="2">
        <f t="shared" si="0"/>
        <v>9.310344827586213E-2</v>
      </c>
      <c r="AH11" s="2">
        <f t="shared" si="0"/>
        <v>9.6551724137931103E-2</v>
      </c>
      <c r="AI11" s="2">
        <f t="shared" si="0"/>
        <v>0.10000000000000007</v>
      </c>
      <c r="AJ11" s="10"/>
      <c r="AK11" s="11">
        <v>0</v>
      </c>
      <c r="AL11" s="11"/>
      <c r="AM11" s="11"/>
    </row>
    <row r="12" spans="1:39" x14ac:dyDescent="0.3">
      <c r="A12" s="4"/>
      <c r="B12" s="4"/>
      <c r="E12" s="1" t="s">
        <v>7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f>AK12</f>
        <v>300</v>
      </c>
      <c r="AJ12" s="4"/>
      <c r="AK12" s="11">
        <v>300</v>
      </c>
      <c r="AL12" s="11"/>
      <c r="AM12" s="11"/>
    </row>
    <row r="13" spans="1:39" x14ac:dyDescent="0.3">
      <c r="A13" s="14"/>
      <c r="B13" s="14"/>
    </row>
    <row r="14" spans="1:39" x14ac:dyDescent="0.3">
      <c r="A14" s="15"/>
      <c r="B14" s="14"/>
      <c r="E14" t="s">
        <v>9</v>
      </c>
      <c r="F14" s="5">
        <v>0</v>
      </c>
      <c r="G14">
        <f>G12+(($B$8*$B$3)/($B$7*$B$6))*(H12-2*G12+F12)/$B$2^2</f>
        <v>0</v>
      </c>
      <c r="H14">
        <f t="shared" ref="H14:AI14" si="1">H12+(($B$8*$B$3)/($B$7*$B$6))*(I12-2*H12+G12)/$B$2^2</f>
        <v>0</v>
      </c>
      <c r="I14">
        <f t="shared" si="1"/>
        <v>0</v>
      </c>
      <c r="J14">
        <f t="shared" si="1"/>
        <v>0</v>
      </c>
      <c r="K14">
        <f t="shared" si="1"/>
        <v>0</v>
      </c>
      <c r="L14">
        <f t="shared" si="1"/>
        <v>0</v>
      </c>
      <c r="M14">
        <f t="shared" si="1"/>
        <v>0</v>
      </c>
      <c r="N14">
        <f t="shared" si="1"/>
        <v>0</v>
      </c>
      <c r="O14">
        <f t="shared" si="1"/>
        <v>0</v>
      </c>
      <c r="P14">
        <f t="shared" si="1"/>
        <v>0</v>
      </c>
      <c r="Q14">
        <f t="shared" si="1"/>
        <v>0</v>
      </c>
      <c r="R14">
        <f t="shared" si="1"/>
        <v>0</v>
      </c>
      <c r="S14">
        <f t="shared" si="1"/>
        <v>0</v>
      </c>
      <c r="T14">
        <f t="shared" si="1"/>
        <v>0</v>
      </c>
      <c r="U14">
        <f t="shared" si="1"/>
        <v>0</v>
      </c>
      <c r="V14">
        <f t="shared" si="1"/>
        <v>0</v>
      </c>
      <c r="W14">
        <f t="shared" si="1"/>
        <v>0</v>
      </c>
      <c r="X14">
        <f t="shared" si="1"/>
        <v>0</v>
      </c>
      <c r="Y14">
        <f t="shared" si="1"/>
        <v>0</v>
      </c>
      <c r="Z14">
        <f t="shared" si="1"/>
        <v>0</v>
      </c>
      <c r="AA14">
        <f t="shared" si="1"/>
        <v>0</v>
      </c>
      <c r="AB14">
        <f t="shared" si="1"/>
        <v>0</v>
      </c>
      <c r="AC14">
        <f t="shared" si="1"/>
        <v>0</v>
      </c>
      <c r="AD14">
        <f t="shared" si="1"/>
        <v>0</v>
      </c>
      <c r="AE14">
        <f t="shared" si="1"/>
        <v>0</v>
      </c>
      <c r="AF14">
        <f t="shared" si="1"/>
        <v>0</v>
      </c>
      <c r="AG14">
        <f t="shared" si="1"/>
        <v>0</v>
      </c>
      <c r="AH14">
        <f t="shared" si="1"/>
        <v>150</v>
      </c>
      <c r="AI14">
        <f t="shared" si="1"/>
        <v>0</v>
      </c>
    </row>
    <row r="15" spans="1:39" x14ac:dyDescent="0.3">
      <c r="A15" s="5"/>
      <c r="B15" s="14"/>
      <c r="E15" s="9"/>
    </row>
    <row r="16" spans="1:39" x14ac:dyDescent="0.3">
      <c r="E16" s="9" t="s">
        <v>11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>
        <v>0</v>
      </c>
      <c r="AJ16" s="5"/>
      <c r="AK16" s="13">
        <v>0</v>
      </c>
      <c r="AL16" s="13"/>
      <c r="AM16" s="13"/>
    </row>
  </sheetData>
  <mergeCells count="6">
    <mergeCell ref="AK16:AM16"/>
    <mergeCell ref="E8:AI9"/>
    <mergeCell ref="AK8:AM9"/>
    <mergeCell ref="AK10:AM10"/>
    <mergeCell ref="AK11:AM11"/>
    <mergeCell ref="AK12:AM12"/>
  </mergeCells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2род</vt:lpstr>
      <vt:lpstr>3род</vt:lpstr>
      <vt:lpstr>4род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Юртаев</dc:creator>
  <cp:lastModifiedBy>Артём Юртаев</cp:lastModifiedBy>
  <dcterms:created xsi:type="dcterms:W3CDTF">2021-02-25T07:14:50Z</dcterms:created>
  <dcterms:modified xsi:type="dcterms:W3CDTF">2021-03-26T11:43:25Z</dcterms:modified>
</cp:coreProperties>
</file>